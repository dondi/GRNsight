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1422\"/>
    </mc:Choice>
  </mc:AlternateContent>
  <xr:revisionPtr revIDLastSave="0" documentId="13_ncr:1_{29308CC5-157C-402D-BEED-D56FBDE8326C}" xr6:coauthVersionLast="47" xr6:coauthVersionMax="47" xr10:uidLastSave="{00000000-0000-0000-0000-000000000000}"/>
  <bookViews>
    <workbookView xWindow="-108" yWindow="-108" windowWidth="23256" windowHeight="12456" tabRatio="687" firstSheet="8" activeTab="11" xr2:uid="{00000000-000D-0000-FFFF-FFFF00000000}"/>
  </bookViews>
  <sheets>
    <sheet name="network" sheetId="1" r:id="rId1"/>
    <sheet name="network_weights" sheetId="9" r:id="rId2"/>
    <sheet name="network_optimized_weights" sheetId="10" r:id="rId3"/>
    <sheet name="wt_log2_expression" sheetId="2" r:id="rId4"/>
    <sheet name="wt_log2_optimized_expression" sheetId="11" r:id="rId5"/>
    <sheet name="wt_sigmas" sheetId="12" r:id="rId6"/>
    <sheet name="production_rates" sheetId="3" r:id="rId7"/>
    <sheet name="degradation_rates" sheetId="4" r:id="rId8"/>
    <sheet name="threshold_b" sheetId="5" r:id="rId9"/>
    <sheet name="optimization_parameters" sheetId="6" r:id="rId10"/>
    <sheet name="optimized_production_rates" sheetId="7" r:id="rId11"/>
    <sheet name="optimized_threshold_b" sheetId="8" r:id="rId12"/>
    <sheet name="optimization_diagnostics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B4" i="12"/>
  <c r="B3" i="12"/>
  <c r="B2" i="12"/>
</calcChain>
</file>

<file path=xl/sharedStrings.xml><?xml version="1.0" encoding="utf-8"?>
<sst xmlns="http://schemas.openxmlformats.org/spreadsheetml/2006/main" count="94" uniqueCount="41">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</sst>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1" fillId="0" borderId="0" xfId="1"/>
  </cellXfs>
  <cellStyles count="3">
    <cellStyle name="Explanatory Text 2" xfId="2" xr:uid="{08F9453D-B7D8-4D43-B591-111F45138308}"/>
    <cellStyle name="Normal" xfId="0" builtinId="0"/>
    <cellStyle name="Normal 2" xfId="1" xr:uid="{23F740E3-9E17-4443-AFBD-4E5F2536A5E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7053-5710-4E3C-81CE-0C37C0B40752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EEEC-B2B8-4A8B-BE27-179DC09E8BD7}">
  <dimension ref="A1:D4"/>
  <sheetViews>
    <sheetView workbookViewId="0">
      <selection activeCell="D4" sqref="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2</v>
      </c>
      <c r="C2">
        <v>0</v>
      </c>
      <c r="D2">
        <v>2</v>
      </c>
    </row>
    <row r="3" spans="1:4" x14ac:dyDescent="0.3">
      <c r="A3" t="s">
        <v>2</v>
      </c>
      <c r="B3">
        <v>-2</v>
      </c>
      <c r="C3">
        <v>2</v>
      </c>
      <c r="D3">
        <v>-2</v>
      </c>
    </row>
    <row r="4" spans="1:4" x14ac:dyDescent="0.3">
      <c r="A4" t="s">
        <v>3</v>
      </c>
      <c r="B4">
        <v>0</v>
      </c>
      <c r="C4">
        <v>-2</v>
      </c>
      <c r="D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>
      <selection sqref="A1:XFD1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E09D-F4A5-470C-8A11-18E3E66772E5}">
  <dimension ref="A1:X4"/>
  <sheetViews>
    <sheetView workbookViewId="0">
      <selection activeCell="B4" sqref="B4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-0.27460000000000001</v>
      </c>
      <c r="C2">
        <v>-0.19939999999999999</v>
      </c>
      <c r="D2">
        <v>2.4771999999999998</v>
      </c>
      <c r="E2">
        <v>2.7818000000000001</v>
      </c>
      <c r="F2">
        <v>-0.8448</v>
      </c>
      <c r="G2">
        <v>1.0922000000000001</v>
      </c>
      <c r="H2">
        <v>2.0569999999999999</v>
      </c>
      <c r="I2">
        <v>2.4676</v>
      </c>
      <c r="J2">
        <v>4.4318</v>
      </c>
      <c r="K2">
        <v>4.3592000000000004</v>
      </c>
      <c r="L2">
        <v>1.6894</v>
      </c>
      <c r="M2">
        <v>4.9374000000000002</v>
      </c>
      <c r="N2">
        <v>2.9569999999999999</v>
      </c>
      <c r="O2">
        <v>1.7966</v>
      </c>
      <c r="P2">
        <v>-4.0415999999999999</v>
      </c>
      <c r="Q2">
        <v>-2.8976000000000002</v>
      </c>
      <c r="R2">
        <v>-3.44E-2</v>
      </c>
      <c r="S2">
        <v>1.1068</v>
      </c>
      <c r="T2">
        <v>6.7599999999999993E-2</v>
      </c>
      <c r="U2">
        <v>-1.5968</v>
      </c>
      <c r="V2">
        <v>-4.2244000000000002</v>
      </c>
      <c r="W2">
        <v>-0.1148</v>
      </c>
      <c r="X2">
        <v>2.125</v>
      </c>
    </row>
    <row r="3" spans="1:24" x14ac:dyDescent="0.3">
      <c r="A3" t="s">
        <v>2</v>
      </c>
      <c r="B3">
        <v>-5.8444000000000003</v>
      </c>
      <c r="C3">
        <v>-2.1061999999999999</v>
      </c>
      <c r="D3">
        <v>0.6946</v>
      </c>
      <c r="E3">
        <v>-1.5798000000000001</v>
      </c>
      <c r="F3">
        <v>-6.5738000000000003</v>
      </c>
      <c r="G3">
        <v>-2.9148000000000001</v>
      </c>
      <c r="H3">
        <v>-2.7982</v>
      </c>
      <c r="I3">
        <v>0.27900000000000003</v>
      </c>
      <c r="J3">
        <v>-1.3460000000000001</v>
      </c>
      <c r="K3">
        <v>-3.4192</v>
      </c>
      <c r="L3">
        <v>-1.8168</v>
      </c>
      <c r="M3">
        <v>-2.2991999999999999</v>
      </c>
      <c r="N3">
        <v>-1.9903999999999999</v>
      </c>
      <c r="O3">
        <v>-1.2350000000000001</v>
      </c>
      <c r="P3">
        <v>1.661</v>
      </c>
      <c r="Q3">
        <v>-2.8142</v>
      </c>
      <c r="R3">
        <v>1.75</v>
      </c>
      <c r="S3">
        <v>-1.7467999999999999</v>
      </c>
      <c r="T3">
        <v>-2.7130000000000001</v>
      </c>
      <c r="U3">
        <v>0.2636</v>
      </c>
      <c r="V3">
        <v>-2.1831999999999998</v>
      </c>
      <c r="W3">
        <v>-1.373</v>
      </c>
      <c r="X3">
        <v>-1.1315999999999999</v>
      </c>
    </row>
    <row r="4" spans="1:24" x14ac:dyDescent="0.3">
      <c r="A4" t="s">
        <v>3</v>
      </c>
      <c r="B4">
        <v>-0.88480000000000003</v>
      </c>
      <c r="C4">
        <v>-2.4702000000000002</v>
      </c>
      <c r="D4">
        <v>-1.044</v>
      </c>
      <c r="E4">
        <v>-0.75960000000000005</v>
      </c>
      <c r="F4">
        <v>-1.1477999999999999</v>
      </c>
      <c r="G4">
        <v>-1.5334000000000001</v>
      </c>
      <c r="H4">
        <v>-0.3458</v>
      </c>
      <c r="I4">
        <v>-1.1606000000000001</v>
      </c>
      <c r="J4">
        <v>-0.58320000000000005</v>
      </c>
      <c r="K4">
        <v>-0.71499999999999997</v>
      </c>
      <c r="L4">
        <v>-1.3220000000000001</v>
      </c>
      <c r="M4">
        <v>-1.8832</v>
      </c>
      <c r="N4">
        <v>-1.7809999999999999</v>
      </c>
      <c r="O4">
        <v>1.6726000000000001</v>
      </c>
      <c r="P4">
        <v>1.3962000000000001</v>
      </c>
      <c r="Q4">
        <v>2.0688</v>
      </c>
      <c r="R4">
        <v>2.2986</v>
      </c>
      <c r="S4">
        <v>1.4832000000000001</v>
      </c>
      <c r="T4">
        <v>2.3774000000000002</v>
      </c>
      <c r="U4">
        <v>-0.61619999999999997</v>
      </c>
      <c r="V4">
        <v>1.607</v>
      </c>
      <c r="W4">
        <v>0.9022</v>
      </c>
      <c r="X4">
        <v>9.2799999999999994E-2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EC01-8C79-4750-BC41-64126A475DF0}">
  <dimension ref="A1:X4"/>
  <sheetViews>
    <sheetView workbookViewId="0">
      <selection activeCell="W8" sqref="W8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f>wt_log2_expression!B2/2</f>
        <v>-6.8650000000000003E-2</v>
      </c>
      <c r="C2">
        <f>wt_log2_expression!C2/2</f>
        <v>-4.9849999999999998E-2</v>
      </c>
      <c r="D2">
        <f>wt_log2_expression!D2/2</f>
        <v>0.61929999999999996</v>
      </c>
      <c r="E2">
        <f>wt_log2_expression!E2/2</f>
        <v>0.69545000000000001</v>
      </c>
      <c r="F2">
        <f>wt_log2_expression!F2/2</f>
        <v>-0.2112</v>
      </c>
      <c r="G2">
        <f>wt_log2_expression!G2/2</f>
        <v>0.27305000000000001</v>
      </c>
      <c r="H2">
        <f>wt_log2_expression!H2/2</f>
        <v>0.51424999999999998</v>
      </c>
      <c r="I2">
        <f>wt_log2_expression!I2/2</f>
        <v>0.6169</v>
      </c>
      <c r="J2">
        <f>wt_log2_expression!J2/2</f>
        <v>1.10795</v>
      </c>
      <c r="K2">
        <f>wt_log2_expression!K2/2</f>
        <v>1.0898000000000001</v>
      </c>
      <c r="L2">
        <f>wt_log2_expression!L2/2</f>
        <v>0.42235</v>
      </c>
      <c r="M2">
        <f>wt_log2_expression!M2/2</f>
        <v>1.2343500000000001</v>
      </c>
      <c r="N2">
        <f>wt_log2_expression!N2/2</f>
        <v>0.73924999999999996</v>
      </c>
      <c r="O2">
        <f>wt_log2_expression!O2/2</f>
        <v>0.44914999999999999</v>
      </c>
      <c r="P2">
        <f>wt_log2_expression!P2/2</f>
        <v>-1.0104</v>
      </c>
      <c r="Q2">
        <f>wt_log2_expression!Q2/2</f>
        <v>-0.72440000000000004</v>
      </c>
      <c r="R2">
        <f>wt_log2_expression!R2/2</f>
        <v>-8.6E-3</v>
      </c>
      <c r="S2">
        <f>wt_log2_expression!S2/2</f>
        <v>0.2767</v>
      </c>
      <c r="T2">
        <f>wt_log2_expression!T2/2</f>
        <v>1.6899999999999998E-2</v>
      </c>
      <c r="U2">
        <f>wt_log2_expression!U2/2</f>
        <v>-0.3992</v>
      </c>
      <c r="V2">
        <f>wt_log2_expression!V2/2</f>
        <v>-1.0561</v>
      </c>
      <c r="W2">
        <f>wt_log2_expression!W2/2</f>
        <v>-2.87E-2</v>
      </c>
      <c r="X2">
        <f>wt_log2_expression!X2/2</f>
        <v>0.53125</v>
      </c>
    </row>
    <row r="3" spans="1:24" x14ac:dyDescent="0.3">
      <c r="A3" t="s">
        <v>2</v>
      </c>
      <c r="B3">
        <f>wt_log2_expression!B3/2</f>
        <v>-1.4611000000000001</v>
      </c>
      <c r="C3">
        <f>wt_log2_expression!C3/2</f>
        <v>-0.52654999999999996</v>
      </c>
      <c r="D3">
        <f>wt_log2_expression!D3/2</f>
        <v>0.17365</v>
      </c>
      <c r="E3">
        <f>wt_log2_expression!E3/2</f>
        <v>-0.39495000000000002</v>
      </c>
      <c r="F3">
        <f>wt_log2_expression!F3/2</f>
        <v>-1.6434500000000001</v>
      </c>
      <c r="G3">
        <f>wt_log2_expression!G3/2</f>
        <v>-0.72870000000000001</v>
      </c>
      <c r="H3">
        <f>wt_log2_expression!H3/2</f>
        <v>-0.69955000000000001</v>
      </c>
      <c r="I3">
        <f>wt_log2_expression!I3/2</f>
        <v>6.9750000000000006E-2</v>
      </c>
      <c r="J3">
        <f>wt_log2_expression!J3/2</f>
        <v>-0.33650000000000002</v>
      </c>
      <c r="K3">
        <f>wt_log2_expression!K3/2</f>
        <v>-0.8548</v>
      </c>
      <c r="L3">
        <f>wt_log2_expression!L3/2</f>
        <v>-0.45419999999999999</v>
      </c>
      <c r="M3">
        <f>wt_log2_expression!M3/2</f>
        <v>-0.57479999999999998</v>
      </c>
      <c r="N3">
        <f>wt_log2_expression!N3/2</f>
        <v>-0.49759999999999999</v>
      </c>
      <c r="O3">
        <f>wt_log2_expression!O3/2</f>
        <v>-0.30875000000000002</v>
      </c>
      <c r="P3">
        <f>wt_log2_expression!P3/2</f>
        <v>0.41525000000000001</v>
      </c>
      <c r="Q3">
        <f>wt_log2_expression!Q3/2</f>
        <v>-0.70355000000000001</v>
      </c>
      <c r="R3">
        <f>wt_log2_expression!R3/2</f>
        <v>0.4375</v>
      </c>
      <c r="S3">
        <f>wt_log2_expression!S3/2</f>
        <v>-0.43669999999999998</v>
      </c>
      <c r="T3">
        <f>wt_log2_expression!T3/2</f>
        <v>-0.67825000000000002</v>
      </c>
      <c r="U3">
        <f>wt_log2_expression!U3/2</f>
        <v>6.59E-2</v>
      </c>
      <c r="V3">
        <f>wt_log2_expression!V3/2</f>
        <v>-0.54579999999999995</v>
      </c>
      <c r="W3">
        <f>wt_log2_expression!W3/2</f>
        <v>-0.34325</v>
      </c>
      <c r="X3">
        <f>wt_log2_expression!X3/2</f>
        <v>-0.28289999999999998</v>
      </c>
    </row>
    <row r="4" spans="1:24" x14ac:dyDescent="0.3">
      <c r="A4" t="s">
        <v>3</v>
      </c>
      <c r="B4">
        <f>wt_log2_expression!B4/2</f>
        <v>-0.22120000000000001</v>
      </c>
      <c r="C4">
        <f>wt_log2_expression!C4/2</f>
        <v>-0.61755000000000004</v>
      </c>
      <c r="D4">
        <f>wt_log2_expression!D4/2</f>
        <v>-0.26100000000000001</v>
      </c>
      <c r="E4">
        <f>wt_log2_expression!E4/2</f>
        <v>-0.18990000000000001</v>
      </c>
      <c r="F4">
        <f>wt_log2_expression!F4/2</f>
        <v>-0.28694999999999998</v>
      </c>
      <c r="G4">
        <f>wt_log2_expression!G4/2</f>
        <v>-0.38335000000000002</v>
      </c>
      <c r="H4">
        <f>wt_log2_expression!H4/2</f>
        <v>-8.6449999999999999E-2</v>
      </c>
      <c r="I4">
        <f>wt_log2_expression!I4/2</f>
        <v>-0.29015000000000002</v>
      </c>
      <c r="J4">
        <f>wt_log2_expression!J4/2</f>
        <v>-0.14580000000000001</v>
      </c>
      <c r="K4">
        <f>wt_log2_expression!K4/2</f>
        <v>-0.17874999999999999</v>
      </c>
      <c r="L4">
        <f>wt_log2_expression!L4/2</f>
        <v>-0.33050000000000002</v>
      </c>
      <c r="M4">
        <f>wt_log2_expression!M4/2</f>
        <v>-0.4708</v>
      </c>
      <c r="N4">
        <f>wt_log2_expression!N4/2</f>
        <v>-0.44524999999999998</v>
      </c>
      <c r="O4">
        <f>wt_log2_expression!O4/2</f>
        <v>0.41815000000000002</v>
      </c>
      <c r="P4">
        <f>wt_log2_expression!P4/2</f>
        <v>0.34905000000000003</v>
      </c>
      <c r="Q4">
        <f>wt_log2_expression!Q4/2</f>
        <v>0.51719999999999999</v>
      </c>
      <c r="R4">
        <f>wt_log2_expression!R4/2</f>
        <v>0.57464999999999999</v>
      </c>
      <c r="S4">
        <f>wt_log2_expression!S4/2</f>
        <v>0.37080000000000002</v>
      </c>
      <c r="T4">
        <f>wt_log2_expression!T4/2</f>
        <v>0.59435000000000004</v>
      </c>
      <c r="U4">
        <f>wt_log2_expression!U4/2</f>
        <v>-0.15404999999999999</v>
      </c>
      <c r="V4">
        <f>wt_log2_expression!V4/2</f>
        <v>0.40175</v>
      </c>
      <c r="W4">
        <f>wt_log2_expression!W4/2</f>
        <v>0.22555</v>
      </c>
      <c r="X4">
        <f>wt_log2_expression!X4/2</f>
        <v>2.3199999999999998E-2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7228-C39D-4B02-B636-E52FC0ED68FD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3</v>
      </c>
    </row>
    <row r="3" spans="1:2" x14ac:dyDescent="0.3">
      <c r="A3" t="s">
        <v>2</v>
      </c>
      <c r="B3">
        <v>3.6</v>
      </c>
    </row>
    <row r="4" spans="1:2" x14ac:dyDescent="0.3">
      <c r="A4" t="s">
        <v>3</v>
      </c>
      <c r="B4">
        <v>4.2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AC3E-1F00-4895-8F75-4429179F96B2}">
  <dimension ref="A1:B4"/>
  <sheetViews>
    <sheetView tabSelected="1" workbookViewId="0">
      <selection activeCell="B3" sqref="B3"/>
    </sheetView>
  </sheetViews>
  <sheetFormatPr defaultRowHeight="15.6" x14ac:dyDescent="0.3"/>
  <cols>
    <col min="2" max="2" width="11.09765625" bestFit="1" customWidth="1"/>
  </cols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4</v>
      </c>
    </row>
    <row r="3" spans="1:2" x14ac:dyDescent="0.3">
      <c r="A3" t="s">
        <v>2</v>
      </c>
    </row>
    <row r="4" spans="1:2" x14ac:dyDescent="0.3">
      <c r="A4" t="s">
        <v>3</v>
      </c>
      <c r="B4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8A90-19C4-4BF0-ACC8-A3F5179EE5FF}">
  <dimension ref="A1:B10"/>
  <sheetViews>
    <sheetView workbookViewId="0">
      <selection activeCell="A9" sqref="A9"/>
    </sheetView>
  </sheetViews>
  <sheetFormatPr defaultRowHeight="15.6" x14ac:dyDescent="0.3"/>
  <sheetData>
    <row r="1" spans="1:2" x14ac:dyDescent="0.3">
      <c r="A1" s="1" t="s">
        <v>32</v>
      </c>
      <c r="B1" s="1" t="s">
        <v>33</v>
      </c>
    </row>
    <row r="2" spans="1:2" x14ac:dyDescent="0.3">
      <c r="A2" s="1" t="s">
        <v>34</v>
      </c>
      <c r="B2" s="1">
        <v>0.70027259378275897</v>
      </c>
    </row>
    <row r="3" spans="1:2" x14ac:dyDescent="0.3">
      <c r="A3" s="1" t="s">
        <v>35</v>
      </c>
      <c r="B3" s="1">
        <v>2.5065205502097099</v>
      </c>
    </row>
    <row r="4" spans="1:2" x14ac:dyDescent="0.3">
      <c r="A4" s="1" t="s">
        <v>36</v>
      </c>
      <c r="B4" s="1">
        <v>0.49728852687609298</v>
      </c>
    </row>
    <row r="5" spans="1:2" x14ac:dyDescent="0.3">
      <c r="A5" s="1" t="s">
        <v>37</v>
      </c>
      <c r="B5" s="1">
        <v>111242</v>
      </c>
    </row>
    <row r="6" spans="1:2" x14ac:dyDescent="0.3">
      <c r="A6" s="1" t="s">
        <v>38</v>
      </c>
      <c r="B6" s="1"/>
    </row>
    <row r="7" spans="1:2" x14ac:dyDescent="0.3">
      <c r="A7" s="1" t="s">
        <v>39</v>
      </c>
      <c r="B7" s="1" t="s">
        <v>40</v>
      </c>
    </row>
    <row r="8" spans="1:2" x14ac:dyDescent="0.3">
      <c r="A8" s="1" t="s">
        <v>1</v>
      </c>
      <c r="B8" s="1">
        <v>0.44821950035450803</v>
      </c>
    </row>
    <row r="9" spans="1:2" x14ac:dyDescent="0.3">
      <c r="A9" s="1" t="s">
        <v>2</v>
      </c>
      <c r="B9" s="1">
        <v>0.30383339931329501</v>
      </c>
    </row>
    <row r="10" spans="1:2" x14ac:dyDescent="0.3">
      <c r="A10" s="1" t="s">
        <v>3</v>
      </c>
      <c r="B10" s="1">
        <v>0.81476763856349299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network</vt:lpstr>
      <vt:lpstr>network_weights</vt:lpstr>
      <vt:lpstr>network_optimized_weights</vt:lpstr>
      <vt:lpstr>wt_log2_expression</vt:lpstr>
      <vt:lpstr>wt_log2_optimized_expression</vt:lpstr>
      <vt:lpstr>wt_sigmas</vt:lpstr>
      <vt:lpstr>production_rates</vt:lpstr>
      <vt:lpstr>degradation_rates</vt:lpstr>
      <vt:lpstr>threshold_b</vt:lpstr>
      <vt:lpstr>optimization_parameters</vt:lpstr>
      <vt:lpstr>optimized_production_rates</vt:lpstr>
      <vt:lpstr>optimized_threshold_b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2026-03-31T21:42:12Z</dcterms:created>
  <dcterms:modified xsi:type="dcterms:W3CDTF">2026-03-31T22:08:55Z</dcterms:modified>
</cp:coreProperties>
</file>